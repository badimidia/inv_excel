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&amp; Apuração" sheetId="1" state="visible" r:id="rId1"/>
    <sheet xmlns:r="http://schemas.openxmlformats.org/officeDocument/2006/relationships" name="Rendimentos" sheetId="2" state="visible" r:id="rId2"/>
    <sheet xmlns:r="http://schemas.openxmlformats.org/officeDocument/2006/relationships" name="Deduções" sheetId="3" state="visible" r:id="rId3"/>
    <sheet xmlns:r="http://schemas.openxmlformats.org/officeDocument/2006/relationships" name="Bens e Direitos" sheetId="4" state="visible" r:id="rId4"/>
    <sheet xmlns:r="http://schemas.openxmlformats.org/officeDocument/2006/relationships" name="Renda Variável &amp; FI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9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4E78"/>
      <sz val="12"/>
    </font>
    <font>
      <name val="Calibri"/>
      <b val="1"/>
      <color rgb="00385723"/>
      <sz val="12"/>
    </font>
    <font>
      <name val="Calibri"/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3" fillId="2" borderId="1" applyAlignment="1" pivotButton="0" quotePrefix="0" xfId="0">
      <alignment horizontal="center"/>
    </xf>
    <xf numFmtId="164" fontId="5" fillId="0" borderId="1" pivotButton="0" quotePrefix="0" xfId="0"/>
    <xf numFmtId="0" fontId="2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4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42" customWidth="1" min="2" max="2"/>
    <col width="35" customWidth="1" min="3" max="3"/>
    <col width="49" customWidth="1" min="4" max="4"/>
  </cols>
  <sheetData>
    <row r="1">
      <c r="A1" s="1" t="inlineStr">
        <is>
          <t>DECLARAÇÃO DO IMPOSTO DE RENDA - PESSOA FÍSICA (IRPF)</t>
        </is>
      </c>
    </row>
    <row r="2">
      <c r="A2" s="2" t="inlineStr">
        <is>
          <t>Simulador e Calculadora de Apuração IRPF / Tabela Progressiva</t>
        </is>
      </c>
    </row>
    <row r="3"/>
    <row r="4">
      <c r="A4" s="3" t="inlineStr">
        <is>
          <t>1. DADOS DO CONTRIBUINTE E TIPO DE DECLARAÇÃO</t>
        </is>
      </c>
      <c r="B4" s="4" t="n"/>
      <c r="C4" s="4" t="n"/>
      <c r="D4" s="4" t="n"/>
    </row>
    <row r="5">
      <c r="A5" s="5" t="inlineStr">
        <is>
          <t>Nome do Contribuinte:</t>
        </is>
      </c>
      <c r="B5" s="4" t="inlineStr">
        <is>
          <t>Nome Exemplo</t>
        </is>
      </c>
      <c r="C5" s="5" t="inlineStr">
        <is>
          <t>CPF:</t>
        </is>
      </c>
      <c r="D5" s="4" t="inlineStr">
        <is>
          <t>000.000.000-00</t>
        </is>
      </c>
    </row>
    <row r="6">
      <c r="A6" s="5" t="inlineStr">
        <is>
          <t>Ano-Calendário:</t>
        </is>
      </c>
      <c r="B6" s="4" t="n">
        <v>2025</v>
      </c>
      <c r="C6" s="5" t="inlineStr">
        <is>
          <t>Exercício:</t>
        </is>
      </c>
      <c r="D6" s="4" t="n">
        <v>2026</v>
      </c>
    </row>
    <row r="7">
      <c r="A7" s="5" t="inlineStr">
        <is>
          <t>Opção de Tributação Preferencial:</t>
        </is>
      </c>
      <c r="B7" s="4" t="inlineStr">
        <is>
          <t>Comparativo (Menor Imposto)</t>
        </is>
      </c>
      <c r="C7" s="4" t="n"/>
      <c r="D7" s="4" t="n"/>
    </row>
    <row r="8">
      <c r="A8" s="4" t="n"/>
      <c r="B8" s="4" t="n"/>
      <c r="C8" s="4" t="n"/>
      <c r="D8" s="4" t="n"/>
    </row>
    <row r="9">
      <c r="A9" s="3" t="inlineStr">
        <is>
          <t>2. APURAÇÃO COMPARATIVA: SIMPLIFICADO VS. COMPLETO</t>
        </is>
      </c>
      <c r="B9" s="4" t="n"/>
      <c r="C9" s="4" t="n"/>
      <c r="D9" s="4" t="n"/>
    </row>
    <row r="10">
      <c r="A10" s="6" t="inlineStr">
        <is>
          <t>Descrição</t>
        </is>
      </c>
      <c r="B10" s="6" t="inlineStr">
        <is>
          <t>Dedução Simplificada</t>
        </is>
      </c>
      <c r="C10" s="6" t="inlineStr">
        <is>
          <t>Dedução Completa</t>
        </is>
      </c>
      <c r="D10" s="6" t="inlineStr">
        <is>
          <t>Observações / Origem</t>
        </is>
      </c>
    </row>
    <row r="11">
      <c r="A11" s="5" t="inlineStr">
        <is>
          <t>Total de Rendimentos Tributáveis</t>
        </is>
      </c>
      <c r="B11" s="7">
        <f>Rendimentos!D19</f>
        <v/>
      </c>
      <c r="C11" s="7">
        <f>Rendimentos!D19</f>
        <v/>
      </c>
      <c r="D11" s="8" t="inlineStr">
        <is>
          <t>Soma de salários, pró-labore, aluguéis, etc.</t>
        </is>
      </c>
    </row>
    <row r="12">
      <c r="A12" s="9" t="inlineStr">
        <is>
          <t>(-) Total de Deduções Legais</t>
        </is>
      </c>
      <c r="B12" s="7">
        <f>MIN('Rendimentos'!D19*0.2, 16754.34)</f>
        <v/>
      </c>
      <c r="C12" s="7">
        <f>'Deduções'!D18</f>
        <v/>
      </c>
      <c r="D12" s="8" t="inlineStr">
        <is>
          <t>Simplificado limit. R$ 16.754,34 (20%)</t>
        </is>
      </c>
    </row>
    <row r="13">
      <c r="A13" s="5" t="inlineStr">
        <is>
          <t>(=) Base de Calculo do Imposto</t>
        </is>
      </c>
      <c r="B13" s="10">
        <f>MAX(0, B11-B12)</f>
        <v/>
      </c>
      <c r="C13" s="10">
        <f>MAX(0, C11-C12)</f>
        <v/>
      </c>
      <c r="D13" s="8" t="inlineStr">
        <is>
          <t>Rendimentos TRIBUTÁVEIS (-) Deduções</t>
        </is>
      </c>
    </row>
    <row r="14">
      <c r="A14" s="5" t="inlineStr">
        <is>
          <t>Imposto Devido (Tabela Progressiva)</t>
        </is>
      </c>
      <c r="B14" s="7">
        <f>MAX(0, (B13*0.275)-10842.24)</f>
        <v/>
      </c>
      <c r="C14" s="7">
        <f>MAX(0, (C13*0.275)-10842.24)</f>
        <v/>
      </c>
      <c r="D14" s="8" t="inlineStr">
        <is>
          <t>Cálculo aproximado faixa máx/progressiva</t>
        </is>
      </c>
    </row>
    <row r="15">
      <c r="A15" s="9" t="inlineStr">
        <is>
          <t>(-) Imposto Pego na Fonte / Recolhido</t>
        </is>
      </c>
      <c r="B15" s="7">
        <f>Rendimentos!E19</f>
        <v/>
      </c>
      <c r="C15" s="7">
        <f>Rendimentos!E19</f>
        <v/>
      </c>
      <c r="D15" s="8" t="inlineStr">
        <is>
          <t>Retido pela fonte pagadora (IRRF)</t>
        </is>
      </c>
    </row>
    <row r="16">
      <c r="A16" s="5" t="inlineStr">
        <is>
          <t>(=) IMPOSTO A PAGAR / (RESTITUIÇÃO)</t>
        </is>
      </c>
      <c r="B16" s="11">
        <f>B14-B15</f>
        <v/>
      </c>
      <c r="C16" s="11">
        <f>C14-C15</f>
        <v/>
      </c>
      <c r="D16" s="8" t="inlineStr">
        <is>
          <t>Valor positivo = Pagar | Negativo = Restituir</t>
        </is>
      </c>
    </row>
    <row r="17">
      <c r="A17" s="4" t="n"/>
      <c r="B17" s="4" t="n"/>
      <c r="C17" s="4" t="n"/>
      <c r="D17" s="4" t="n"/>
    </row>
    <row r="18">
      <c r="A18" s="3" t="inlineStr">
        <is>
          <t>3. RECOMENDAÇÃO E DIAGNÓSTICO DA DECLARAÇÃO</t>
        </is>
      </c>
      <c r="B18" s="4" t="n"/>
      <c r="C18" s="4" t="n"/>
      <c r="D18" s="4" t="n"/>
    </row>
    <row r="19">
      <c r="A19" s="5" t="inlineStr">
        <is>
          <t>Opção Mais Vantajosa:</t>
        </is>
      </c>
      <c r="B19" s="12">
        <f>IF(B16&lt;C16, "DESCONTO SIMPLIFICADO", IF(C16&lt;B16, "DEDUÇÕES COMPLETAS", "AMBAS EQUIVALENTES"))</f>
        <v/>
      </c>
      <c r="C19" s="4" t="n"/>
      <c r="D19" s="4" t="n"/>
    </row>
    <row r="20">
      <c r="A20" s="5" t="inlineStr">
        <is>
          <t>Resultado Estimado:</t>
        </is>
      </c>
      <c r="B20" s="13">
        <f>IF(MIN(B16,C16)&lt;0, "RESTITUIÇÃO DE " &amp; TEXT(ABS(MIN(B16,C16)), "R$ #,##0.00"), "IMPOSTO A PAGAR DE " &amp; TEXT(MIN(B16,C16), "R$ #,##0.00"))</f>
        <v/>
      </c>
      <c r="C20" s="4" t="n"/>
      <c r="D20" s="4" t="n"/>
    </row>
    <row r="21">
      <c r="A21" s="4" t="n"/>
      <c r="B21" s="4" t="n"/>
      <c r="C21" s="4" t="n"/>
      <c r="D21" s="4" t="n"/>
    </row>
    <row r="22">
      <c r="A22" s="3" t="inlineStr">
        <is>
          <t>4. TABELA PROGRESSIVA MENSAL / ANUAL DE REFERÊNCIA</t>
        </is>
      </c>
      <c r="B22" s="4" t="n"/>
      <c r="C22" s="4" t="n"/>
      <c r="D22" s="4" t="n"/>
    </row>
    <row r="23">
      <c r="A23" s="14" t="inlineStr">
        <is>
          <t>Base de Cálculo Anual (R$)</t>
        </is>
      </c>
      <c r="B23" s="14" t="inlineStr">
        <is>
          <t>Alíquota (%)</t>
        </is>
      </c>
      <c r="C23" s="14" t="inlineStr">
        <is>
          <t>Parcela a Duzir do Imposto (R$)</t>
        </is>
      </c>
      <c r="D23" s="14" t="inlineStr">
        <is>
          <t>Faixa</t>
        </is>
      </c>
    </row>
    <row r="24">
      <c r="A24" s="9" t="inlineStr">
        <is>
          <t>Até R$ 28.286,57</t>
        </is>
      </c>
      <c r="B24" s="15" t="n">
        <v>0</v>
      </c>
      <c r="C24" s="16" t="n">
        <v>0</v>
      </c>
      <c r="D24" s="17" t="inlineStr">
        <is>
          <t>Isento</t>
        </is>
      </c>
    </row>
    <row r="25">
      <c r="A25" s="9" t="inlineStr">
        <is>
          <t>De R$ 28.286,58 até R$ 35.089,20</t>
        </is>
      </c>
      <c r="B25" s="15" t="n">
        <v>0.075</v>
      </c>
      <c r="C25" s="16" t="n">
        <v>2121.49</v>
      </c>
      <c r="D25" s="17" t="inlineStr">
        <is>
          <t>Faixa 2</t>
        </is>
      </c>
    </row>
    <row r="26">
      <c r="A26" s="9" t="inlineStr">
        <is>
          <t>De R$ 35.089,21 até R$ 46.646,88</t>
        </is>
      </c>
      <c r="B26" s="15" t="n">
        <v>0.15</v>
      </c>
      <c r="C26" s="16" t="n">
        <v>4753.18</v>
      </c>
      <c r="D26" s="17" t="inlineStr">
        <is>
          <t>Faixa 3</t>
        </is>
      </c>
    </row>
    <row r="27">
      <c r="A27" s="9" t="inlineStr">
        <is>
          <t>De R$ 46.646,89 até R$ 58.211,00</t>
        </is>
      </c>
      <c r="B27" s="15" t="n">
        <v>0.225</v>
      </c>
      <c r="C27" s="16" t="n">
        <v>8251.700000000001</v>
      </c>
      <c r="D27" s="17" t="inlineStr">
        <is>
          <t>Faixa 4</t>
        </is>
      </c>
    </row>
    <row r="28">
      <c r="A28" s="9" t="inlineStr">
        <is>
          <t>Acima de R$ 58.211,00</t>
        </is>
      </c>
      <c r="B28" s="15" t="n">
        <v>0.275</v>
      </c>
      <c r="C28" s="16" t="n">
        <v>11162.25</v>
      </c>
      <c r="D28" s="17" t="inlineStr">
        <is>
          <t>Faixa 5</t>
        </is>
      </c>
    </row>
  </sheetData>
  <mergeCells count="4">
    <mergeCell ref="A22:D22"/>
    <mergeCell ref="A4:D4"/>
    <mergeCell ref="A9:D9"/>
    <mergeCell ref="A18:D18"/>
  </mergeCells>
  <dataValidations count="1">
    <dataValidation sqref="B7" showDropDown="0" showInputMessage="0" showErrorMessage="0" allowBlank="0" type="list">
      <formula1>"Comparativo (Menor Imposto), Simplificado, Completo"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22" customWidth="1" min="2" max="2"/>
    <col width="25" customWidth="1" min="3" max="3"/>
    <col width="36" customWidth="1" min="4" max="4"/>
    <col width="29" customWidth="1" min="5" max="5"/>
    <col width="20" customWidth="1" min="6" max="6"/>
  </cols>
  <sheetData>
    <row r="1">
      <c r="A1" s="1" t="inlineStr">
        <is>
          <t>INFORME DE RENDIMENTOS RECEBIDOS (ANO-CALENDÁRIO)</t>
        </is>
      </c>
    </row>
    <row r="2">
      <c r="A2" s="2" t="inlineStr">
        <is>
          <t>Informe os rendimentos tributáveis, isentos e tributados na fonte</t>
        </is>
      </c>
    </row>
    <row r="3"/>
    <row r="4">
      <c r="A4" s="3" t="inlineStr">
        <is>
          <t>1. RENDIMENTOS TRIBUTÁVEIS DE PESSOAS JURÍDICAS OU FÍSICAS</t>
        </is>
      </c>
      <c r="B4" s="4" t="n"/>
      <c r="C4" s="4" t="n"/>
      <c r="D4" s="4" t="n"/>
      <c r="E4" s="4" t="n"/>
      <c r="F4" s="4" t="n"/>
    </row>
    <row r="5">
      <c r="A5" s="6" t="inlineStr">
        <is>
          <t>Fonte Pagadora / Fonte</t>
        </is>
      </c>
      <c r="B5" s="6" t="inlineStr">
        <is>
          <t>CNPJ / CPF</t>
        </is>
      </c>
      <c r="C5" s="6" t="inlineStr">
        <is>
          <t>Rendimento Bruto (R$)</t>
        </is>
      </c>
      <c r="D5" s="6" t="inlineStr">
        <is>
          <t>Contribuição Previdenciária (R$)</t>
        </is>
      </c>
      <c r="E5" s="6" t="inlineStr">
        <is>
          <t>IRRF Retido na Fonte (R$)</t>
        </is>
      </c>
      <c r="F5" s="6" t="inlineStr">
        <is>
          <t>13º Salário (R$)</t>
        </is>
      </c>
    </row>
    <row r="6">
      <c r="A6" s="9" t="inlineStr">
        <is>
          <t>Empresa ABC Ltda</t>
        </is>
      </c>
      <c r="B6" s="9" t="inlineStr">
        <is>
          <t>12.345.678/0001-90</t>
        </is>
      </c>
      <c r="C6" s="7" t="n">
        <v>85000</v>
      </c>
      <c r="D6" s="7" t="n">
        <v>9200</v>
      </c>
      <c r="E6" s="7" t="n">
        <v>11500</v>
      </c>
      <c r="F6" s="7" t="n">
        <v>7000</v>
      </c>
    </row>
    <row r="7">
      <c r="A7" s="9" t="inlineStr">
        <is>
          <t>Aluguéis Recebidos</t>
        </is>
      </c>
      <c r="B7" s="9" t="inlineStr">
        <is>
          <t>111.222.333-44</t>
        </is>
      </c>
      <c r="C7" s="7" t="n">
        <v>18000</v>
      </c>
      <c r="D7" s="7" t="n">
        <v>0</v>
      </c>
      <c r="E7" s="7" t="n">
        <v>0</v>
      </c>
      <c r="F7" s="7" t="n">
        <v>0</v>
      </c>
    </row>
    <row r="8">
      <c r="A8" s="9" t="inlineStr">
        <is>
          <t>Serviços Prestados (Autônomo)</t>
        </is>
      </c>
      <c r="B8" s="9" t="inlineStr">
        <is>
          <t>55.666.777/0001-11</t>
        </is>
      </c>
      <c r="C8" s="7" t="n">
        <v>12000</v>
      </c>
      <c r="D8" s="7" t="n">
        <v>1320</v>
      </c>
      <c r="E8" s="7" t="n">
        <v>600</v>
      </c>
      <c r="F8" s="7" t="n">
        <v>0</v>
      </c>
    </row>
    <row r="9">
      <c r="A9" s="9" t="inlineStr"/>
      <c r="B9" s="9" t="inlineStr"/>
      <c r="C9" s="7" t="n">
        <v>0</v>
      </c>
      <c r="D9" s="7" t="n">
        <v>0</v>
      </c>
      <c r="E9" s="7" t="n">
        <v>0</v>
      </c>
      <c r="F9" s="7" t="n">
        <v>0</v>
      </c>
    </row>
    <row r="10">
      <c r="A10" s="9" t="inlineStr"/>
      <c r="B10" s="9" t="inlineStr"/>
      <c r="C10" s="7" t="n">
        <v>0</v>
      </c>
      <c r="D10" s="7" t="n">
        <v>0</v>
      </c>
      <c r="E10" s="7" t="n">
        <v>0</v>
      </c>
      <c r="F10" s="7" t="n">
        <v>0</v>
      </c>
    </row>
    <row r="11">
      <c r="A11" s="9" t="inlineStr"/>
      <c r="B11" s="9" t="inlineStr"/>
      <c r="C11" s="7" t="n">
        <v>0</v>
      </c>
      <c r="D11" s="7" t="n">
        <v>0</v>
      </c>
      <c r="E11" s="7" t="n">
        <v>0</v>
      </c>
      <c r="F11" s="7" t="n">
        <v>0</v>
      </c>
    </row>
    <row r="12">
      <c r="A12" s="9" t="inlineStr"/>
      <c r="B12" s="9" t="inlineStr"/>
      <c r="C12" s="7" t="n">
        <v>0</v>
      </c>
      <c r="D12" s="7" t="n">
        <v>0</v>
      </c>
      <c r="E12" s="7" t="n">
        <v>0</v>
      </c>
      <c r="F12" s="7" t="n">
        <v>0</v>
      </c>
    </row>
    <row r="13">
      <c r="A13" s="9" t="inlineStr"/>
      <c r="B13" s="9" t="inlineStr"/>
      <c r="C13" s="7" t="n">
        <v>0</v>
      </c>
      <c r="D13" s="7" t="n">
        <v>0</v>
      </c>
      <c r="E13" s="7" t="n">
        <v>0</v>
      </c>
      <c r="F13" s="7" t="n">
        <v>0</v>
      </c>
    </row>
    <row r="14">
      <c r="A14" s="9" t="inlineStr"/>
      <c r="B14" s="9" t="inlineStr"/>
      <c r="C14" s="7" t="n">
        <v>0</v>
      </c>
      <c r="D14" s="7" t="n">
        <v>0</v>
      </c>
      <c r="E14" s="7" t="n">
        <v>0</v>
      </c>
      <c r="F14" s="7" t="n">
        <v>0</v>
      </c>
    </row>
    <row r="15">
      <c r="A15" s="9" t="inlineStr"/>
      <c r="B15" s="9" t="inlineStr"/>
      <c r="C15" s="7" t="n">
        <v>0</v>
      </c>
      <c r="D15" s="7" t="n">
        <v>0</v>
      </c>
      <c r="E15" s="7" t="n">
        <v>0</v>
      </c>
      <c r="F15" s="7" t="n">
        <v>0</v>
      </c>
    </row>
    <row r="16">
      <c r="A16" s="9" t="inlineStr"/>
      <c r="B16" s="9" t="inlineStr"/>
      <c r="C16" s="7" t="n">
        <v>0</v>
      </c>
      <c r="D16" s="7" t="n">
        <v>0</v>
      </c>
      <c r="E16" s="7" t="n">
        <v>0</v>
      </c>
      <c r="F16" s="7" t="n">
        <v>0</v>
      </c>
    </row>
    <row r="17">
      <c r="A17" s="9" t="inlineStr"/>
      <c r="B17" s="9" t="inlineStr"/>
      <c r="C17" s="7" t="n">
        <v>0</v>
      </c>
      <c r="D17" s="7" t="n">
        <v>0</v>
      </c>
      <c r="E17" s="7" t="n">
        <v>0</v>
      </c>
      <c r="F17" s="7" t="n">
        <v>0</v>
      </c>
    </row>
    <row r="18">
      <c r="A18" s="4" t="n"/>
      <c r="B18" s="4" t="n"/>
      <c r="C18" s="4" t="n"/>
      <c r="D18" s="4" t="n"/>
      <c r="E18" s="4" t="n"/>
      <c r="F18" s="4" t="n"/>
    </row>
    <row r="19">
      <c r="A19" s="5" t="inlineStr">
        <is>
          <t>TOTAL DE RENDIMENTOS TRIBUTÁVEIS</t>
        </is>
      </c>
      <c r="B19" s="4" t="n"/>
      <c r="C19" s="10">
        <f>SUM(C6:C18)</f>
        <v/>
      </c>
      <c r="D19" s="10">
        <f>SUM(D6:D18)</f>
        <v/>
      </c>
      <c r="E19" s="10">
        <f>SUM(E6:E18)</f>
        <v/>
      </c>
      <c r="F19" s="10">
        <f>SUM(F6:F18)</f>
        <v/>
      </c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3" t="inlineStr">
        <is>
          <t>2. RENDIMENTOS ISENTOS E NÃO TRIBUTÁVEIS</t>
        </is>
      </c>
      <c r="B22" s="4" t="n"/>
      <c r="C22" s="4" t="n"/>
      <c r="D22" s="4" t="n"/>
      <c r="E22" s="4" t="n"/>
      <c r="F22" s="4" t="n"/>
    </row>
    <row r="23">
      <c r="A23" s="18" t="inlineStr">
        <is>
          <t>Tipo de Rendimento Isento</t>
        </is>
      </c>
      <c r="B23" s="18" t="inlineStr">
        <is>
          <t>CNPJ/CPF Fonte</t>
        </is>
      </c>
      <c r="C23" s="18" t="inlineStr">
        <is>
          <t>Descrição / Origem</t>
        </is>
      </c>
      <c r="D23" s="18" t="inlineStr">
        <is>
          <t>Valor (R$)</t>
        </is>
      </c>
      <c r="E23" s="4" t="n"/>
      <c r="F23" s="4" t="n"/>
    </row>
    <row r="24">
      <c r="A24" s="9" t="inlineStr">
        <is>
          <t>Rendimento de Caderneta de Poupança / LCI / LCA</t>
        </is>
      </c>
      <c r="B24" s="9" t="inlineStr">
        <is>
          <t>00.000.000/0001-00</t>
        </is>
      </c>
      <c r="C24" s="9" t="inlineStr">
        <is>
          <t>Banco Rendimentos</t>
        </is>
      </c>
      <c r="D24" s="7" t="n">
        <v>2400</v>
      </c>
      <c r="E24" s="4" t="n"/>
      <c r="F24" s="4" t="n"/>
    </row>
    <row r="25">
      <c r="A25" s="9" t="inlineStr">
        <is>
          <t>Lucros e Dividendos Recebidos</t>
        </is>
      </c>
      <c r="B25" s="9" t="inlineStr">
        <is>
          <t>12.345.678/0001-90</t>
        </is>
      </c>
      <c r="C25" s="9" t="inlineStr">
        <is>
          <t>Empresa ABC Ltda</t>
        </is>
      </c>
      <c r="D25" s="7" t="n">
        <v>15000</v>
      </c>
      <c r="E25" s="4" t="n"/>
      <c r="F25" s="4" t="n"/>
    </row>
    <row r="26">
      <c r="A26" s="9" t="inlineStr">
        <is>
          <t>Indenizações por Rescisão de Contrato de Trabalho</t>
        </is>
      </c>
      <c r="B26" s="9" t="inlineStr"/>
      <c r="C26" s="9" t="inlineStr"/>
      <c r="D26" s="7" t="n">
        <v>0</v>
      </c>
      <c r="E26" s="4" t="n"/>
      <c r="F26" s="4" t="n"/>
    </row>
    <row r="27">
      <c r="A27" s="9" t="inlineStr">
        <is>
          <t>Outros Isentos</t>
        </is>
      </c>
      <c r="B27" s="9" t="inlineStr"/>
      <c r="C27" s="9" t="inlineStr"/>
      <c r="D27" s="7" t="n">
        <v>0</v>
      </c>
      <c r="E27" s="4" t="n"/>
      <c r="F27" s="4" t="n"/>
    </row>
    <row r="28">
      <c r="A28" s="5" t="inlineStr">
        <is>
          <t>TOTAL RENDIMENTOS ISENTOS</t>
        </is>
      </c>
      <c r="B28" s="4" t="n"/>
      <c r="C28" s="4" t="n"/>
      <c r="D28" s="10">
        <f>SUM(D24:D27)</f>
        <v/>
      </c>
      <c r="E28" s="4" t="n"/>
      <c r="F28" s="4" t="n"/>
    </row>
  </sheetData>
  <mergeCells count="2">
    <mergeCell ref="A22:F22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28" customWidth="1" min="2" max="2"/>
    <col width="24" customWidth="1" min="3" max="3"/>
    <col width="33" customWidth="1" min="4" max="4"/>
    <col width="36" customWidth="1" min="5" max="5"/>
  </cols>
  <sheetData>
    <row r="1">
      <c r="A1" s="1" t="inlineStr">
        <is>
          <t>DEDUÇÕES LEGAIS (DECLARAÇÃO COMPLETA)</t>
        </is>
      </c>
    </row>
    <row r="2">
      <c r="A2" s="2" t="inlineStr">
        <is>
          <t>Cadastre dependentes, despesas médicas, instrução, previdência e pensão</t>
        </is>
      </c>
    </row>
    <row r="3"/>
    <row r="4">
      <c r="A4" s="3" t="inlineStr">
        <is>
          <t>1. DEPENDENTES (Dedução fixa de R$ 2.275,08 por dependente/ano)</t>
        </is>
      </c>
      <c r="B4" s="4" t="n"/>
      <c r="C4" s="4" t="n"/>
      <c r="D4" s="4" t="n"/>
      <c r="E4" s="4" t="n"/>
    </row>
    <row r="5">
      <c r="A5" s="6" t="inlineStr">
        <is>
          <t>Nome do Dependente</t>
        </is>
      </c>
      <c r="B5" s="6" t="inlineStr">
        <is>
          <t>CPF</t>
        </is>
      </c>
      <c r="C5" s="6" t="inlineStr">
        <is>
          <t>Data Nascimento</t>
        </is>
      </c>
      <c r="D5" s="6" t="inlineStr">
        <is>
          <t>Grau de Parentesco</t>
        </is>
      </c>
      <c r="E5" s="6" t="inlineStr">
        <is>
          <t>Valor Dedução (R$)</t>
        </is>
      </c>
    </row>
    <row r="6">
      <c r="A6" s="9" t="inlineStr">
        <is>
          <t>Filho Exemplo 1</t>
        </is>
      </c>
      <c r="B6" s="9" t="inlineStr">
        <is>
          <t>000.111.222-33</t>
        </is>
      </c>
      <c r="C6" s="9" t="inlineStr">
        <is>
          <t>15/05/2015</t>
        </is>
      </c>
      <c r="D6" s="9" t="inlineStr">
        <is>
          <t>Filho(a)</t>
        </is>
      </c>
      <c r="E6" s="7" t="n">
        <v>2275.08</v>
      </c>
    </row>
    <row r="7">
      <c r="A7" s="9" t="inlineStr">
        <is>
          <t>Cônjuge Exemplo</t>
        </is>
      </c>
      <c r="B7" s="9" t="inlineStr">
        <is>
          <t>999.888.777-66</t>
        </is>
      </c>
      <c r="C7" s="9" t="inlineStr">
        <is>
          <t>20/10/1988</t>
        </is>
      </c>
      <c r="D7" s="9" t="inlineStr">
        <is>
          <t>Cônjuge</t>
        </is>
      </c>
      <c r="E7" s="7" t="n">
        <v>2275.08</v>
      </c>
    </row>
    <row r="8">
      <c r="A8" s="9" t="inlineStr"/>
      <c r="B8" s="9" t="inlineStr"/>
      <c r="C8" s="9" t="inlineStr"/>
      <c r="D8" s="9" t="inlineStr"/>
      <c r="E8" s="7" t="n">
        <v>0</v>
      </c>
    </row>
    <row r="9">
      <c r="A9" s="5" t="inlineStr">
        <is>
          <t>TOTAL DEDUÇÃO DEPENDENTES</t>
        </is>
      </c>
      <c r="B9" s="4" t="n"/>
      <c r="C9" s="4" t="n"/>
      <c r="D9" s="4" t="n"/>
      <c r="E9" s="10">
        <f>SUM(E6:E8)</f>
        <v/>
      </c>
    </row>
    <row r="10">
      <c r="A10" s="4" t="n"/>
      <c r="B10" s="4" t="n"/>
      <c r="C10" s="4" t="n"/>
      <c r="D10" s="4" t="n"/>
      <c r="E10" s="4" t="n"/>
    </row>
    <row r="11">
      <c r="A11" s="3" t="inlineStr">
        <is>
          <t>2. DESPESAS DEDUTÍVEIS (SAÚDE, EDUCAÇÃO, PGBL, PENSÃO ALIMENTÍCIA)</t>
        </is>
      </c>
      <c r="B11" s="4" t="n"/>
      <c r="C11" s="4" t="n"/>
      <c r="D11" s="4" t="n"/>
      <c r="E11" s="4" t="n"/>
    </row>
    <row r="12">
      <c r="A12" s="18" t="inlineStr">
        <is>
          <t>Categoria</t>
        </is>
      </c>
      <c r="B12" s="18" t="inlineStr">
        <is>
          <t>Beneficiário / Prestador</t>
        </is>
      </c>
      <c r="C12" s="18" t="inlineStr">
        <is>
          <t>CNPJ / CPF Prestador</t>
        </is>
      </c>
      <c r="D12" s="18" t="inlineStr">
        <is>
          <t>Valor Pago (R$)</t>
        </is>
      </c>
      <c r="E12" s="18" t="inlineStr">
        <is>
          <t>Dedução Efetiva / Limite (R$)</t>
        </is>
      </c>
    </row>
    <row r="13">
      <c r="A13" s="9" t="inlineStr">
        <is>
          <t>Instrução / Educação</t>
        </is>
      </c>
      <c r="B13" s="9" t="inlineStr">
        <is>
          <t>Escola Exemplo</t>
        </is>
      </c>
      <c r="C13" s="9" t="inlineStr">
        <is>
          <t>11.222.333/0001-44</t>
        </is>
      </c>
      <c r="D13" s="7" t="n">
        <v>5000</v>
      </c>
      <c r="E13" s="7">
        <f>MIN(D13, 3561.50)</f>
        <v/>
      </c>
    </row>
    <row r="14">
      <c r="A14" s="9" t="inlineStr">
        <is>
          <t>Instrução / Educação</t>
        </is>
      </c>
      <c r="B14" s="9" t="inlineStr">
        <is>
          <t>Faculdade Exemplo</t>
        </is>
      </c>
      <c r="C14" s="9" t="inlineStr">
        <is>
          <t>44.555.666/0001-77</t>
        </is>
      </c>
      <c r="D14" s="7" t="n">
        <v>4000</v>
      </c>
      <c r="E14" s="7">
        <f>MIN(D14, 3561.50)</f>
        <v/>
      </c>
    </row>
    <row r="15">
      <c r="A15" s="9" t="inlineStr">
        <is>
          <t>Despesa Médica / Saúde</t>
        </is>
      </c>
      <c r="B15" s="9" t="inlineStr">
        <is>
          <t>Plano de Saúde Unimed</t>
        </is>
      </c>
      <c r="C15" s="9" t="inlineStr">
        <is>
          <t>88.999.000/0001-11</t>
        </is>
      </c>
      <c r="D15" s="7" t="n">
        <v>7200</v>
      </c>
      <c r="E15" s="7">
        <f>D15</f>
        <v/>
      </c>
    </row>
    <row r="16">
      <c r="A16" s="9" t="inlineStr">
        <is>
          <t>Despesa Médica / Saúde</t>
        </is>
      </c>
      <c r="B16" s="9" t="inlineStr">
        <is>
          <t>Consultas e Exames</t>
        </is>
      </c>
      <c r="C16" s="9" t="inlineStr">
        <is>
          <t>000.111.222-99</t>
        </is>
      </c>
      <c r="D16" s="7" t="n">
        <v>1800</v>
      </c>
      <c r="E16" s="7">
        <f>D16</f>
        <v/>
      </c>
    </row>
    <row r="17">
      <c r="A17" s="9" t="inlineStr">
        <is>
          <t>Previdência Privada (PGBL)</t>
        </is>
      </c>
      <c r="B17" s="9" t="inlineStr">
        <is>
          <t>Fundo PGBL Banco</t>
        </is>
      </c>
      <c r="C17" s="9" t="inlineStr">
        <is>
          <t>55.444.333/0001-22</t>
        </is>
      </c>
      <c r="D17" s="7" t="n">
        <v>6000</v>
      </c>
      <c r="E17" s="7">
        <f>MIN(D17, Rendimentos!D19*0.12)</f>
        <v/>
      </c>
    </row>
    <row r="18">
      <c r="A18" s="5" t="inlineStr">
        <is>
          <t>TOTAL GERAL DE DEDUÇÕES LEGAIS</t>
        </is>
      </c>
      <c r="B18" s="4" t="n"/>
      <c r="C18" s="4" t="n"/>
      <c r="D18" s="10">
        <f>SUM(D13:D17)+Rendimentos!D19</f>
        <v/>
      </c>
      <c r="E18" s="11">
        <f>E9+SUM(E13:E17)+Rendimentos!D19</f>
        <v/>
      </c>
    </row>
  </sheetData>
  <mergeCells count="2">
    <mergeCell ref="A11:E11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46" customWidth="1" min="2" max="2"/>
    <col width="27" customWidth="1" min="3" max="3"/>
    <col width="31" customWidth="1" min="4" max="4"/>
    <col width="31" customWidth="1" min="5" max="5"/>
    <col width="29" customWidth="1" min="6" max="6"/>
  </cols>
  <sheetData>
    <row r="1">
      <c r="A1" s="1" t="inlineStr">
        <is>
          <t>DECLARAÇÃO DE BENS E DIREITOS</t>
        </is>
      </c>
    </row>
    <row r="2">
      <c r="A2" s="2" t="inlineStr">
        <is>
          <t>Acompanhamento da evolução patrimonial entre 31/12 do ano anterior e 31/12 do ano-calendário</t>
        </is>
      </c>
    </row>
    <row r="3"/>
    <row r="4">
      <c r="A4" s="3" t="inlineStr">
        <is>
          <t>RELAÇÃO DE BENS, DIREITOS, IMÓVEIS, VEÍCULOS E APLICAÇÕES</t>
        </is>
      </c>
      <c r="B4" s="4" t="n"/>
      <c r="C4" s="4" t="n"/>
      <c r="D4" s="4" t="n"/>
      <c r="E4" s="4" t="n"/>
      <c r="F4" s="4" t="n"/>
    </row>
    <row r="5">
      <c r="A5" s="6" t="inlineStr">
        <is>
          <t>Grupo / Código</t>
        </is>
      </c>
      <c r="B5" s="6" t="inlineStr">
        <is>
          <t>Discriminação e Detalhamento do Bem</t>
        </is>
      </c>
      <c r="C5" s="6" t="inlineStr">
        <is>
          <t>Localização / Documento</t>
        </is>
      </c>
      <c r="D5" s="6" t="inlineStr">
        <is>
          <t>Situação em 31/12/2024 (R$)</t>
        </is>
      </c>
      <c r="E5" s="6" t="inlineStr">
        <is>
          <t>Situação em 31/12/2025 (R$)</t>
        </is>
      </c>
      <c r="F5" s="6" t="inlineStr">
        <is>
          <t>Variação Patrimonial (R$)</t>
        </is>
      </c>
    </row>
    <row r="6">
      <c r="A6" s="9" t="inlineStr">
        <is>
          <t>01 - Imóveis (01-Apartamento)</t>
        </is>
      </c>
      <c r="B6" s="9" t="inlineStr">
        <is>
          <t>Apartamento de 85m², R. Exemplo nº 100, SP</t>
        </is>
      </c>
      <c r="C6" s="9" t="inlineStr">
        <is>
          <t>Matrícula 123456</t>
        </is>
      </c>
      <c r="D6" s="7" t="n">
        <v>350000</v>
      </c>
      <c r="E6" s="7" t="n">
        <v>370000</v>
      </c>
      <c r="F6" s="7">
        <f>E6-D6</f>
        <v/>
      </c>
    </row>
    <row r="7">
      <c r="A7" s="9" t="inlineStr">
        <is>
          <t>02 - Veículos (01-Automóvel)</t>
        </is>
      </c>
      <c r="B7" s="9" t="inlineStr">
        <is>
          <t>Veículo SUV Modelo 2022, Placa ABC-1234</t>
        </is>
      </c>
      <c r="C7" s="9" t="inlineStr">
        <is>
          <t>Renavam 00000000</t>
        </is>
      </c>
      <c r="D7" s="7" t="n">
        <v>95000</v>
      </c>
      <c r="E7" s="7" t="n">
        <v>85000</v>
      </c>
      <c r="F7" s="7">
        <f>E7-D7</f>
        <v/>
      </c>
    </row>
    <row r="8">
      <c r="A8" s="9" t="inlineStr">
        <is>
          <t>04 - Aplicações (02-Ações)</t>
        </is>
      </c>
      <c r="B8" s="9" t="inlineStr">
        <is>
          <t>Lote de Ações PETR4, Custódia Corretora</t>
        </is>
      </c>
      <c r="C8" s="9" t="inlineStr">
        <is>
          <t>CNPJ Corretora</t>
        </is>
      </c>
      <c r="D8" s="7" t="n">
        <v>15000</v>
      </c>
      <c r="E8" s="7" t="n">
        <v>22000</v>
      </c>
      <c r="F8" s="7">
        <f>E8-D8</f>
        <v/>
      </c>
    </row>
    <row r="9">
      <c r="A9" s="9" t="inlineStr">
        <is>
          <t>07 - Depósitos à Vista (01-Conta)</t>
        </is>
      </c>
      <c r="B9" s="9" t="inlineStr">
        <is>
          <t>Saldo em Conta Corrente Banco Itaú</t>
        </is>
      </c>
      <c r="C9" s="9" t="inlineStr">
        <is>
          <t>Ag 1234 CC 56789</t>
        </is>
      </c>
      <c r="D9" s="7" t="n">
        <v>5400</v>
      </c>
      <c r="E9" s="7" t="n">
        <v>12800</v>
      </c>
      <c r="F9" s="7">
        <f>E9-D9</f>
        <v/>
      </c>
    </row>
    <row r="10">
      <c r="A10" s="9" t="inlineStr"/>
      <c r="B10" s="9" t="inlineStr"/>
      <c r="C10" s="9" t="inlineStr"/>
      <c r="D10" s="7" t="n">
        <v>0</v>
      </c>
      <c r="E10" s="7" t="n">
        <v>0</v>
      </c>
      <c r="F10" s="7">
        <f>E10-D10</f>
        <v/>
      </c>
    </row>
    <row r="11">
      <c r="A11" s="9" t="inlineStr"/>
      <c r="B11" s="9" t="inlineStr"/>
      <c r="C11" s="9" t="inlineStr"/>
      <c r="D11" s="7" t="n">
        <v>0</v>
      </c>
      <c r="E11" s="7" t="n">
        <v>0</v>
      </c>
      <c r="F11" s="7">
        <f>E11-D11</f>
        <v/>
      </c>
    </row>
    <row r="12">
      <c r="A12" s="9" t="inlineStr"/>
      <c r="B12" s="9" t="inlineStr"/>
      <c r="C12" s="9" t="inlineStr"/>
      <c r="D12" s="7" t="n">
        <v>0</v>
      </c>
      <c r="E12" s="7" t="n">
        <v>0</v>
      </c>
      <c r="F12" s="7">
        <f>E12-D12</f>
        <v/>
      </c>
    </row>
    <row r="13">
      <c r="A13" s="5" t="inlineStr">
        <is>
          <t>TOTAL PATRIMÔNIO DECLARADO</t>
        </is>
      </c>
      <c r="B13" s="4" t="n"/>
      <c r="C13" s="4" t="n"/>
      <c r="D13" s="10">
        <f>SUM(D6:D12)</f>
        <v/>
      </c>
      <c r="E13" s="10">
        <f>SUM(E6:E12)</f>
        <v/>
      </c>
      <c r="F13" s="10">
        <f>SUM(F6:F12)</f>
        <v/>
      </c>
    </row>
  </sheetData>
  <mergeCells count="1"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3" customWidth="1" min="3" max="3"/>
    <col width="28" customWidth="1" min="4" max="4"/>
    <col width="36" customWidth="1" min="5" max="5"/>
    <col width="49" customWidth="1" min="6" max="6"/>
    <col width="25" customWidth="1" min="7" max="7"/>
  </cols>
  <sheetData>
    <row r="1">
      <c r="A1" s="1" t="inlineStr">
        <is>
          <t>APURAÇÃO DE RENDA VARIÁVEL E AÇÕES (MENSAL)</t>
        </is>
      </c>
    </row>
    <row r="2">
      <c r="A2" s="2" t="inlineStr">
        <is>
          <t>Controle mensal de lucros/prejuízos em Operações Comuns, Day Trade e FIIs</t>
        </is>
      </c>
    </row>
    <row r="3"/>
    <row r="4">
      <c r="A4" s="3" t="inlineStr">
        <is>
          <t>CONTROLE DE OPERAÇÕES EM BOLSA DE VALORES</t>
        </is>
      </c>
      <c r="B4" s="4" t="n"/>
      <c r="C4" s="4" t="n"/>
      <c r="D4" s="4" t="n"/>
      <c r="E4" s="4" t="n"/>
      <c r="F4" s="4" t="n"/>
      <c r="G4" s="4" t="n"/>
    </row>
    <row r="5">
      <c r="A5" s="6" t="inlineStr">
        <is>
          <t>Mês</t>
        </is>
      </c>
      <c r="B5" s="6" t="inlineStr">
        <is>
          <t>Lucro/Prejuízo Ações Comum (R$)</t>
        </is>
      </c>
      <c r="C5" s="6" t="inlineStr">
        <is>
          <t>Lucro/Prejuízo Day Trade (R$)</t>
        </is>
      </c>
      <c r="D5" s="6" t="inlineStr">
        <is>
          <t>Lucro/Prejuízo FIIs (R$)</t>
        </is>
      </c>
      <c r="E5" s="6" t="inlineStr">
        <is>
          <t>Prejuízo Acumulado Anterior (R$)</t>
        </is>
      </c>
      <c r="F5" s="6" t="inlineStr">
        <is>
          <t>Imposto Devido (R$)</t>
        </is>
      </c>
      <c r="G5" s="6" t="inlineStr">
        <is>
          <t>IRRF Pago no Mês (R$)</t>
        </is>
      </c>
    </row>
    <row r="6">
      <c r="A6" s="5" t="inlineStr">
        <is>
          <t>Janeiro</t>
        </is>
      </c>
      <c r="B6" s="16" t="n">
        <v>0</v>
      </c>
      <c r="C6" s="16" t="n">
        <v>0</v>
      </c>
      <c r="D6" s="16" t="n">
        <v>0</v>
      </c>
      <c r="E6" s="16" t="n">
        <v>0</v>
      </c>
      <c r="F6" s="16">
        <f>MAX(0, (B6*0.15) + (C6*0.20) + (D6*0.20))</f>
        <v/>
      </c>
      <c r="G6" s="16" t="n">
        <v>0</v>
      </c>
    </row>
    <row r="7">
      <c r="A7" s="5" t="inlineStr">
        <is>
          <t>Fevereiro</t>
        </is>
      </c>
      <c r="B7" s="16" t="n">
        <v>0</v>
      </c>
      <c r="C7" s="16" t="n">
        <v>0</v>
      </c>
      <c r="D7" s="16" t="n">
        <v>0</v>
      </c>
      <c r="E7" s="16" t="n">
        <v>0</v>
      </c>
      <c r="F7" s="16">
        <f>MAX(0, (B7*0.15) + (C7*0.20) + (D7*0.20))</f>
        <v/>
      </c>
      <c r="G7" s="16" t="n">
        <v>0</v>
      </c>
    </row>
    <row r="8">
      <c r="A8" s="5" t="inlineStr">
        <is>
          <t>Março</t>
        </is>
      </c>
      <c r="B8" s="16" t="n">
        <v>0</v>
      </c>
      <c r="C8" s="16" t="n">
        <v>0</v>
      </c>
      <c r="D8" s="16" t="n">
        <v>0</v>
      </c>
      <c r="E8" s="16" t="n">
        <v>0</v>
      </c>
      <c r="F8" s="16">
        <f>MAX(0, (B8*0.15) + (C8*0.20) + (D8*0.20))</f>
        <v/>
      </c>
      <c r="G8" s="16" t="n">
        <v>0</v>
      </c>
    </row>
    <row r="9">
      <c r="A9" s="5" t="inlineStr">
        <is>
          <t>Abril</t>
        </is>
      </c>
      <c r="B9" s="16" t="n">
        <v>0</v>
      </c>
      <c r="C9" s="16" t="n">
        <v>0</v>
      </c>
      <c r="D9" s="16" t="n">
        <v>0</v>
      </c>
      <c r="E9" s="16" t="n">
        <v>0</v>
      </c>
      <c r="F9" s="16">
        <f>MAX(0, (B9*0.15) + (C9*0.20) + (D9*0.20))</f>
        <v/>
      </c>
      <c r="G9" s="16" t="n">
        <v>0</v>
      </c>
    </row>
    <row r="10">
      <c r="A10" s="5" t="inlineStr">
        <is>
          <t>Maio</t>
        </is>
      </c>
      <c r="B10" s="16" t="n">
        <v>0</v>
      </c>
      <c r="C10" s="16" t="n">
        <v>0</v>
      </c>
      <c r="D10" s="16" t="n">
        <v>0</v>
      </c>
      <c r="E10" s="16" t="n">
        <v>0</v>
      </c>
      <c r="F10" s="16">
        <f>MAX(0, (B10*0.15) + (C10*0.20) + (D10*0.20))</f>
        <v/>
      </c>
      <c r="G10" s="16" t="n">
        <v>0</v>
      </c>
    </row>
    <row r="11">
      <c r="A11" s="5" t="inlineStr">
        <is>
          <t>Junho</t>
        </is>
      </c>
      <c r="B11" s="16" t="n">
        <v>0</v>
      </c>
      <c r="C11" s="16" t="n">
        <v>0</v>
      </c>
      <c r="D11" s="16" t="n">
        <v>0</v>
      </c>
      <c r="E11" s="16" t="n">
        <v>0</v>
      </c>
      <c r="F11" s="16">
        <f>MAX(0, (B11*0.15) + (C11*0.20) + (D11*0.20))</f>
        <v/>
      </c>
      <c r="G11" s="16" t="n">
        <v>0</v>
      </c>
    </row>
    <row r="12">
      <c r="A12" s="5" t="inlineStr">
        <is>
          <t>Julho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>
        <f>MAX(0, (B12*0.15) + (C12*0.20) + (D12*0.20))</f>
        <v/>
      </c>
      <c r="G12" s="16" t="n">
        <v>0</v>
      </c>
    </row>
    <row r="13">
      <c r="A13" s="5" t="inlineStr">
        <is>
          <t>Agosto</t>
        </is>
      </c>
      <c r="B13" s="16" t="n">
        <v>0</v>
      </c>
      <c r="C13" s="16" t="n">
        <v>0</v>
      </c>
      <c r="D13" s="16" t="n">
        <v>0</v>
      </c>
      <c r="E13" s="16" t="n">
        <v>0</v>
      </c>
      <c r="F13" s="16">
        <f>MAX(0, (B13*0.15) + (C13*0.20) + (D13*0.20))</f>
        <v/>
      </c>
      <c r="G13" s="16" t="n">
        <v>0</v>
      </c>
    </row>
    <row r="14">
      <c r="A14" s="5" t="inlineStr">
        <is>
          <t>Setembro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>
        <f>MAX(0, (B14*0.15) + (C14*0.20) + (D14*0.20))</f>
        <v/>
      </c>
      <c r="G14" s="16" t="n">
        <v>0</v>
      </c>
    </row>
    <row r="15">
      <c r="A15" s="5" t="inlineStr">
        <is>
          <t>Outubro</t>
        </is>
      </c>
      <c r="B15" s="16" t="n">
        <v>0</v>
      </c>
      <c r="C15" s="16" t="n">
        <v>0</v>
      </c>
      <c r="D15" s="16" t="n">
        <v>0</v>
      </c>
      <c r="E15" s="16" t="n">
        <v>0</v>
      </c>
      <c r="F15" s="16">
        <f>MAX(0, (B15*0.15) + (C15*0.20) + (D15*0.20))</f>
        <v/>
      </c>
      <c r="G15" s="16" t="n">
        <v>0</v>
      </c>
    </row>
    <row r="16">
      <c r="A16" s="5" t="inlineStr">
        <is>
          <t>Novembro</t>
        </is>
      </c>
      <c r="B16" s="16" t="n">
        <v>0</v>
      </c>
      <c r="C16" s="16" t="n">
        <v>0</v>
      </c>
      <c r="D16" s="16" t="n">
        <v>0</v>
      </c>
      <c r="E16" s="16" t="n">
        <v>0</v>
      </c>
      <c r="F16" s="16">
        <f>MAX(0, (B16*0.15) + (C16*0.20) + (D16*0.20))</f>
        <v/>
      </c>
      <c r="G16" s="16" t="n">
        <v>0</v>
      </c>
    </row>
    <row r="17">
      <c r="A17" s="5" t="inlineStr">
        <is>
          <t>Dezembro</t>
        </is>
      </c>
      <c r="B17" s="16" t="n">
        <v>0</v>
      </c>
      <c r="C17" s="16" t="n">
        <v>0</v>
      </c>
      <c r="D17" s="16" t="n">
        <v>0</v>
      </c>
      <c r="E17" s="16" t="n">
        <v>0</v>
      </c>
      <c r="F17" s="16">
        <f>MAX(0, (B17*0.15) + (C17*0.20) + (D17*0.20))</f>
        <v/>
      </c>
      <c r="G17" s="16" t="n">
        <v>0</v>
      </c>
    </row>
    <row r="18">
      <c r="A18" s="5" t="inlineStr">
        <is>
          <t>TOTAL ANUAL</t>
        </is>
      </c>
      <c r="B18" s="10">
        <f>SUM(B6:B17)</f>
        <v/>
      </c>
      <c r="C18" s="10">
        <f>SUM(C6:C17)</f>
        <v/>
      </c>
      <c r="D18" s="10">
        <f>SUM(D6:D17)</f>
        <v/>
      </c>
      <c r="E18" s="10">
        <f>SUM(E6:E17)</f>
        <v/>
      </c>
      <c r="F18" s="10">
        <f>SUM(F6:F17)</f>
        <v/>
      </c>
      <c r="G18" s="10">
        <f>SUM(G6:G17)</f>
        <v/>
      </c>
    </row>
  </sheetData>
  <mergeCells count="1"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2026-10-16T20:10:46Z</dcterms:created>
  <dcterms:modified xmlns:dcterms="http://purl.org/dc/terms/" xmlns:xsi="http://www.w3.org/2001/XMLSchema-instance" xsi:type="dcterms:W3CDTF">2026-10-16T20:10:46Z</dcterms:modified>
</cp:coreProperties>
</file>