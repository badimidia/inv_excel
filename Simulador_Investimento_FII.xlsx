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 FII" sheetId="1" state="visible" r:id="rId1"/>
    <sheet xmlns:r="http://schemas.openxmlformats.org/officeDocument/2006/relationships" name="Apoio" sheetId="2" state="visible" r:id="rId2"/>
  </sheets>
  <definedNames>
    <definedName name="salario">'Simulador FII'!$C$6</definedName>
    <definedName name="aporte_sugerido">'Simulador FII'!$C$7</definedName>
    <definedName name="aporte">'Simulador FII'!$C$8</definedName>
    <definedName name="anos">'Simulador FII'!$C$9</definedName>
    <definedName name="taxa_mensal">'Simulador FII'!$C$10</definedName>
    <definedName name="perfil">'Simulador FII'!$C$11</definedName>
    <definedName name="patrimonio_acumulado">'Simulador FII'!$F$6</definedName>
    <definedName name="dividendos_mensais">'Simulador FII'!$F$7</definedName>
    <definedName name="dividendos_anuais">'Simulador FII'!$F$8</definedName>
    <definedName name="total_aportado">'Simulador FII'!$F$9</definedName>
    <definedName name="total_juros">'Simulador FII'!$F$10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#,##0.00"/>
    <numFmt numFmtId="165" formatCode="0&quot; anos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E0E0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1" pivotButton="0" quotePrefix="0" xfId="0"/>
    <xf numFmtId="164" fontId="0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10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5" borderId="1" pivotButton="0" quotePrefix="0" xfId="0"/>
    <xf numFmtId="0" fontId="0" fillId="0" borderId="1" pivotButton="0" quotePrefix="0" xfId="0"/>
    <xf numFmtId="10" fontId="0" fillId="5" borderId="1" applyAlignment="1" pivotButton="0" quotePrefix="0" xfId="0">
      <alignment horizontal="right"/>
    </xf>
    <xf numFmtId="1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4" fillId="3" borderId="0" pivotButton="0" quotePrefix="0" xfId="0"/>
    <xf numFmtId="0" fontId="4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24" customWidth="1" min="3" max="3"/>
    <col width="24" customWidth="1" min="4" max="4"/>
    <col width="34" customWidth="1" min="5" max="5"/>
    <col width="24" customWidth="1" min="6" max="6"/>
  </cols>
  <sheetData>
    <row r="2" ht="28" customHeight="1">
      <c r="B2" s="1" t="inlineStr">
        <is>
          <t>SIMULADOR DE INVESTIMENTO EM FUNDOS IMOBILIÁRIOS (FIIs)</t>
        </is>
      </c>
    </row>
    <row r="3" ht="18" customHeight="1">
      <c r="B3" s="2" t="inlineStr">
        <is>
          <t>Planejamento de Longo Prazo, Patrimônio e Dividendos Mensais</t>
        </is>
      </c>
    </row>
    <row r="5">
      <c r="B5" s="3" t="inlineStr">
        <is>
          <t>PARÂMETROS DA SIMULAÇÃO</t>
        </is>
      </c>
      <c r="E5" s="3" t="inlineStr">
        <is>
          <t>RESULTADOS DA SIMULAÇÃO</t>
        </is>
      </c>
    </row>
    <row r="6">
      <c r="B6" s="4" t="inlineStr">
        <is>
          <t>Salário Mensal (R$):</t>
        </is>
      </c>
      <c r="C6" s="5" t="n">
        <v>5000</v>
      </c>
      <c r="E6" s="4" t="inlineStr">
        <is>
          <t>Patrimônio Acumulado Estimado:</t>
        </is>
      </c>
      <c r="F6" s="6">
        <f>-VF(taxa_mensal; anos*12; aporte)</f>
        <v/>
      </c>
    </row>
    <row r="7">
      <c r="B7" s="4" t="inlineStr">
        <is>
          <t>Sugestão de Aporte (30%):</t>
        </is>
      </c>
      <c r="C7" s="7">
        <f>B6*0.30</f>
        <v/>
      </c>
      <c r="E7" s="4" t="inlineStr">
        <is>
          <t>Rendimento Mensal em Dividendos:</t>
        </is>
      </c>
      <c r="F7" s="6">
        <f>patrimonio_acumulado*taxa_mensal</f>
        <v/>
      </c>
    </row>
    <row r="8">
      <c r="B8" s="4" t="inlineStr">
        <is>
          <t>Aporte Mensal Desejado (R$):</t>
        </is>
      </c>
      <c r="C8" s="5" t="n">
        <v>1500</v>
      </c>
      <c r="E8" s="4" t="inlineStr">
        <is>
          <t>Rendimento Anual em Dividendos:</t>
        </is>
      </c>
      <c r="F8" s="6">
        <f>dividendos_mensais*12</f>
        <v/>
      </c>
    </row>
    <row r="9">
      <c r="B9" s="4" t="inlineStr">
        <is>
          <t>Anos de Investimento:</t>
        </is>
      </c>
      <c r="C9" s="8" t="n">
        <v>10</v>
      </c>
      <c r="E9" s="4" t="inlineStr">
        <is>
          <t>Total de Aportes Efetuados:</t>
        </is>
      </c>
      <c r="F9" s="6">
        <f>aporte*anos*12</f>
        <v/>
      </c>
    </row>
    <row r="10">
      <c r="B10" s="4" t="inlineStr">
        <is>
          <t>Taxa de Rendimento Mensal (%):</t>
        </is>
      </c>
      <c r="C10" s="9" t="n">
        <v>0.008</v>
      </c>
      <c r="E10" s="4" t="inlineStr">
        <is>
          <t>Total Ganho em Juros/Rendimentos:</t>
        </is>
      </c>
      <c r="F10" s="6">
        <f>patrimonio_acumulado-total_aportado</f>
        <v/>
      </c>
    </row>
    <row r="11">
      <c r="B11" s="4" t="inlineStr">
        <is>
          <t>Perfil de Investidor:</t>
        </is>
      </c>
      <c r="C11" s="10" t="inlineStr">
        <is>
          <t>Moderado</t>
        </is>
      </c>
    </row>
    <row r="13">
      <c r="B13" s="3" t="inlineStr">
        <is>
          <t>PROJEÇÃO DE CENÁRIOS DE TEMPO</t>
        </is>
      </c>
    </row>
    <row r="14">
      <c r="B14" s="11" t="inlineStr">
        <is>
          <t>Prazo (Anos)</t>
        </is>
      </c>
      <c r="C14" s="11" t="inlineStr">
        <is>
          <t>Total Aportado (R$)</t>
        </is>
      </c>
      <c r="D14" s="11" t="inlineStr">
        <is>
          <t>Patrimônio Acumulado (R$)</t>
        </is>
      </c>
      <c r="E14" s="11" t="inlineStr">
        <is>
          <t>Dividendo Mensal Estimado (R$)</t>
        </is>
      </c>
    </row>
    <row r="15">
      <c r="B15" s="12" t="n">
        <v>2</v>
      </c>
      <c r="C15" s="13">
        <f>aporte*B15*12</f>
        <v/>
      </c>
      <c r="D15" s="13">
        <f>-VF(taxa_mensal; B15*12; aporte)</f>
        <v/>
      </c>
      <c r="E15" s="13">
        <f>D15*taxa_mensal</f>
        <v/>
      </c>
    </row>
    <row r="16">
      <c r="B16" s="12" t="n">
        <v>5</v>
      </c>
      <c r="C16" s="13">
        <f>aporte*B16*12</f>
        <v/>
      </c>
      <c r="D16" s="13">
        <f>-VF(taxa_mensal; B16*12; aporte)</f>
        <v/>
      </c>
      <c r="E16" s="13">
        <f>D16*taxa_mensal</f>
        <v/>
      </c>
    </row>
    <row r="17">
      <c r="B17" s="12" t="n">
        <v>10</v>
      </c>
      <c r="C17" s="13">
        <f>aporte*B17*12</f>
        <v/>
      </c>
      <c r="D17" s="13">
        <f>-VF(taxa_mensal; B17*12; aporte)</f>
        <v/>
      </c>
      <c r="E17" s="13">
        <f>D17*taxa_mensal</f>
        <v/>
      </c>
    </row>
    <row r="18">
      <c r="B18" s="12" t="n">
        <v>20</v>
      </c>
      <c r="C18" s="13">
        <f>aporte*B18*12</f>
        <v/>
      </c>
      <c r="D18" s="13">
        <f>-VF(taxa_mensal; B18*12; aporte)</f>
        <v/>
      </c>
      <c r="E18" s="13">
        <f>D18*taxa_mensal</f>
        <v/>
      </c>
    </row>
    <row r="19">
      <c r="B19" s="12" t="n">
        <v>30</v>
      </c>
      <c r="C19" s="13">
        <f>aporte*B19*12</f>
        <v/>
      </c>
      <c r="D19" s="13">
        <f>-VF(taxa_mensal; B19*12; aporte)</f>
        <v/>
      </c>
      <c r="E19" s="13">
        <f>D19*taxa_mensal</f>
        <v/>
      </c>
    </row>
    <row r="22">
      <c r="B22" s="3" t="inlineStr">
        <is>
          <t>DIVISÃO DO APORTE POR TIPO DE FII</t>
        </is>
      </c>
    </row>
    <row r="23">
      <c r="B23" s="11" t="inlineStr">
        <is>
          <t>Tipo de Fundo Imobiliário</t>
        </is>
      </c>
      <c r="C23" s="11" t="inlineStr">
        <is>
          <t>% Alocação</t>
        </is>
      </c>
      <c r="D23" s="11" t="inlineStr">
        <is>
          <t>Aporte Mensal (R$)</t>
        </is>
      </c>
      <c r="E23" s="11" t="inlineStr">
        <is>
          <t>Dividendo Mensal Estimado (R$)</t>
        </is>
      </c>
    </row>
    <row r="24">
      <c r="B24" s="14" t="inlineStr">
        <is>
          <t>FIIs de Tijolo (Corporativo / Logística / Shopping)</t>
        </is>
      </c>
      <c r="C24" s="15">
        <f>PROCV(perfil&amp;"_"&amp;B24; Apoio!$A$2:$D$19; 4; FALSO)</f>
        <v/>
      </c>
      <c r="D24" s="13">
        <f>aporte*C24</f>
        <v/>
      </c>
      <c r="E24" s="13">
        <f>dividendos_mensais*C24</f>
        <v/>
      </c>
    </row>
    <row r="25">
      <c r="B25" s="14" t="inlineStr">
        <is>
          <t>FIIs de Papel (CRIs / Títulos Dívida Imobiliária)</t>
        </is>
      </c>
      <c r="C25" s="15">
        <f>PROCV(perfil&amp;"_"&amp;B25; Apoio!$A$2:$D$19; 4; FALSO)</f>
        <v/>
      </c>
      <c r="D25" s="13">
        <f>aporte*C25</f>
        <v/>
      </c>
      <c r="E25" s="13">
        <f>dividendos_mensais*C25</f>
        <v/>
      </c>
    </row>
    <row r="26">
      <c r="B26" s="14" t="inlineStr">
        <is>
          <t>FIIs de Fundos (FoFs)</t>
        </is>
      </c>
      <c r="C26" s="15">
        <f>PROCV(perfil&amp;"_"&amp;B26; Apoio!$A$2:$D$19; 4; FALSO)</f>
        <v/>
      </c>
      <c r="D26" s="13">
        <f>aporte*C26</f>
        <v/>
      </c>
      <c r="E26" s="13">
        <f>dividendos_mensais*C26</f>
        <v/>
      </c>
    </row>
    <row r="27">
      <c r="B27" s="14" t="inlineStr">
        <is>
          <t>FIIs de Desenvolvimento (Obras / Incorporação)</t>
        </is>
      </c>
      <c r="C27" s="15">
        <f>PROCV(perfil&amp;"_"&amp;B27; Apoio!$A$2:$D$19; 4; FALSO)</f>
        <v/>
      </c>
      <c r="D27" s="13">
        <f>aporte*C27</f>
        <v/>
      </c>
      <c r="E27" s="13">
        <f>dividendos_mensais*C27</f>
        <v/>
      </c>
    </row>
    <row r="28">
      <c r="B28" s="14" t="inlineStr">
        <is>
          <t>FIIs Híbridos</t>
        </is>
      </c>
      <c r="C28" s="15">
        <f>PROCV(perfil&amp;"_"&amp;B28; Apoio!$A$2:$D$19; 4; FALSO)</f>
        <v/>
      </c>
      <c r="D28" s="13">
        <f>aporte*C28</f>
        <v/>
      </c>
      <c r="E28" s="13">
        <f>dividendos_mensais*C28</f>
        <v/>
      </c>
    </row>
    <row r="29">
      <c r="B29" s="14" t="inlineStr">
        <is>
          <t>Fiagros / Outros</t>
        </is>
      </c>
      <c r="C29" s="15">
        <f>PROCV(perfil&amp;"_"&amp;B29; Apoio!$A$2:$D$19; 4; FALSO)</f>
        <v/>
      </c>
      <c r="D29" s="13">
        <f>aporte*C29</f>
        <v/>
      </c>
      <c r="E29" s="13">
        <f>dividendos_mensais*C29</f>
        <v/>
      </c>
    </row>
    <row r="30">
      <c r="B30" s="4" t="inlineStr">
        <is>
          <t>TOTAL</t>
        </is>
      </c>
      <c r="C30" s="16">
        <f>SOMA(C24:C29)</f>
        <v/>
      </c>
      <c r="D30" s="17">
        <f>SOMA(D24:D29)</f>
        <v/>
      </c>
      <c r="E30" s="17">
        <f>SOMA(E24:E29)</f>
        <v/>
      </c>
    </row>
    <row r="32">
      <c r="B32" s="18" t="inlineStr">
        <is>
          <t>* Células cinzas/azuladas são calculadas automaticamente. Altere apenas os parâmetros de entrada em cinza claro.</t>
        </is>
      </c>
    </row>
  </sheetData>
  <mergeCells count="6">
    <mergeCell ref="B3:G3"/>
    <mergeCell ref="B2:G2"/>
    <mergeCell ref="B5:C5"/>
    <mergeCell ref="B13:E13"/>
    <mergeCell ref="E5:F5"/>
    <mergeCell ref="B22:E22"/>
  </mergeCells>
  <dataValidations count="1">
    <dataValidation sqref="C11" showDropDown="0" showInputMessage="0" showErrorMessage="0" allowBlank="0" type="list">
      <formula1>=Apoio!$F$2:$F$4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sheetData>
    <row r="1">
      <c r="A1" s="19" t="inlineStr">
        <is>
          <t>Chave_Composta</t>
        </is>
      </c>
      <c r="B1" s="19" t="inlineStr">
        <is>
          <t>Perfil</t>
        </is>
      </c>
      <c r="C1" s="19" t="inlineStr">
        <is>
          <t>Tipo_Fundo</t>
        </is>
      </c>
      <c r="D1" s="19" t="inlineStr">
        <is>
          <t>Percentual</t>
        </is>
      </c>
      <c r="F1" s="20" t="inlineStr">
        <is>
          <t>Perfis_Disponiveis</t>
        </is>
      </c>
    </row>
    <row r="2">
      <c r="A2">
        <f>B2&amp;"_"&amp;C2</f>
        <v/>
      </c>
      <c r="B2" t="inlineStr">
        <is>
          <t>Conservador</t>
        </is>
      </c>
      <c r="C2" t="inlineStr">
        <is>
          <t>FIIs de Tijolo (Corporativo / Logística / Shopping)</t>
        </is>
      </c>
      <c r="D2" s="21" t="n">
        <v>0.5</v>
      </c>
      <c r="F2" t="inlineStr">
        <is>
          <t>Conservador</t>
        </is>
      </c>
    </row>
    <row r="3">
      <c r="A3">
        <f>B3&amp;"_"&amp;C3</f>
        <v/>
      </c>
      <c r="B3" t="inlineStr">
        <is>
          <t>Conservador</t>
        </is>
      </c>
      <c r="C3" t="inlineStr">
        <is>
          <t>FIIs de Papel (CRIs / Títulos Dívida Imobiliária)</t>
        </is>
      </c>
      <c r="D3" s="21" t="n">
        <v>0.3</v>
      </c>
      <c r="F3" t="inlineStr">
        <is>
          <t>Moderado</t>
        </is>
      </c>
    </row>
    <row r="4">
      <c r="A4">
        <f>B4&amp;"_"&amp;C4</f>
        <v/>
      </c>
      <c r="B4" t="inlineStr">
        <is>
          <t>Conservador</t>
        </is>
      </c>
      <c r="C4" t="inlineStr">
        <is>
          <t>FIIs de Fundos (FoFs)</t>
        </is>
      </c>
      <c r="D4" s="21" t="n">
        <v>0.1</v>
      </c>
      <c r="F4" t="inlineStr">
        <is>
          <t>Arrojado</t>
        </is>
      </c>
    </row>
    <row r="5">
      <c r="A5">
        <f>B5&amp;"_"&amp;C5</f>
        <v/>
      </c>
      <c r="B5" t="inlineStr">
        <is>
          <t>Conservador</t>
        </is>
      </c>
      <c r="C5" t="inlineStr">
        <is>
          <t>FIIs de Desenvolvimento (Obras / Incorporação)</t>
        </is>
      </c>
      <c r="D5" s="21" t="n">
        <v>0</v>
      </c>
    </row>
    <row r="6">
      <c r="A6">
        <f>B6&amp;"_"&amp;C6</f>
        <v/>
      </c>
      <c r="B6" t="inlineStr">
        <is>
          <t>Conservador</t>
        </is>
      </c>
      <c r="C6" t="inlineStr">
        <is>
          <t>FIIs Híbridos</t>
        </is>
      </c>
      <c r="D6" s="21" t="n">
        <v>0.1</v>
      </c>
    </row>
    <row r="7">
      <c r="A7">
        <f>B7&amp;"_"&amp;C7</f>
        <v/>
      </c>
      <c r="B7" t="inlineStr">
        <is>
          <t>Conservador</t>
        </is>
      </c>
      <c r="C7" t="inlineStr">
        <is>
          <t>Fiagros / Outros</t>
        </is>
      </c>
      <c r="D7" s="21" t="n">
        <v>0</v>
      </c>
    </row>
    <row r="8">
      <c r="A8">
        <f>B8&amp;"_"&amp;C8</f>
        <v/>
      </c>
      <c r="B8" t="inlineStr">
        <is>
          <t>Moderado</t>
        </is>
      </c>
      <c r="C8" t="inlineStr">
        <is>
          <t>FIIs de Tijolo (Corporativo / Logística / Shopping)</t>
        </is>
      </c>
      <c r="D8" s="21" t="n">
        <v>0.4</v>
      </c>
    </row>
    <row r="9">
      <c r="A9">
        <f>B9&amp;"_"&amp;C9</f>
        <v/>
      </c>
      <c r="B9" t="inlineStr">
        <is>
          <t>Moderado</t>
        </is>
      </c>
      <c r="C9" t="inlineStr">
        <is>
          <t>FIIs de Papel (CRIs / Títulos Dívida Imobiliária)</t>
        </is>
      </c>
      <c r="D9" s="21" t="n">
        <v>0.25</v>
      </c>
    </row>
    <row r="10">
      <c r="A10">
        <f>B10&amp;"_"&amp;C10</f>
        <v/>
      </c>
      <c r="B10" t="inlineStr">
        <is>
          <t>Moderado</t>
        </is>
      </c>
      <c r="C10" t="inlineStr">
        <is>
          <t>FIIs de Fundos (FoFs)</t>
        </is>
      </c>
      <c r="D10" s="21" t="n">
        <v>0.15</v>
      </c>
    </row>
    <row r="11">
      <c r="A11">
        <f>B11&amp;"_"&amp;C11</f>
        <v/>
      </c>
      <c r="B11" t="inlineStr">
        <is>
          <t>Moderado</t>
        </is>
      </c>
      <c r="C11" t="inlineStr">
        <is>
          <t>FIIs de Desenvolvimento (Obras / Incorporação)</t>
        </is>
      </c>
      <c r="D11" s="21" t="n">
        <v>0.05</v>
      </c>
    </row>
    <row r="12">
      <c r="A12">
        <f>B12&amp;"_"&amp;C12</f>
        <v/>
      </c>
      <c r="B12" t="inlineStr">
        <is>
          <t>Moderado</t>
        </is>
      </c>
      <c r="C12" t="inlineStr">
        <is>
          <t>FIIs Híbridos</t>
        </is>
      </c>
      <c r="D12" s="21" t="n">
        <v>0.1</v>
      </c>
    </row>
    <row r="13">
      <c r="A13">
        <f>B13&amp;"_"&amp;C13</f>
        <v/>
      </c>
      <c r="B13" t="inlineStr">
        <is>
          <t>Moderado</t>
        </is>
      </c>
      <c r="C13" t="inlineStr">
        <is>
          <t>Fiagros / Outros</t>
        </is>
      </c>
      <c r="D13" s="21" t="n">
        <v>0.05</v>
      </c>
    </row>
    <row r="14">
      <c r="A14">
        <f>B14&amp;"_"&amp;C14</f>
        <v/>
      </c>
      <c r="B14" t="inlineStr">
        <is>
          <t>Arrojado</t>
        </is>
      </c>
      <c r="C14" t="inlineStr">
        <is>
          <t>FIIs de Tijolo (Corporativo / Logística / Shopping)</t>
        </is>
      </c>
      <c r="D14" s="21" t="n">
        <v>0.25</v>
      </c>
    </row>
    <row r="15">
      <c r="A15">
        <f>B15&amp;"_"&amp;C15</f>
        <v/>
      </c>
      <c r="B15" t="inlineStr">
        <is>
          <t>Arrojado</t>
        </is>
      </c>
      <c r="C15" t="inlineStr">
        <is>
          <t>FIIs de Papel (CRIs / Títulos Dívida Imobiliária)</t>
        </is>
      </c>
      <c r="D15" s="21" t="n">
        <v>0.2</v>
      </c>
    </row>
    <row r="16">
      <c r="A16">
        <f>B16&amp;"_"&amp;C16</f>
        <v/>
      </c>
      <c r="B16" t="inlineStr">
        <is>
          <t>Arrojado</t>
        </is>
      </c>
      <c r="C16" t="inlineStr">
        <is>
          <t>FIIs de Fundos (FoFs)</t>
        </is>
      </c>
      <c r="D16" s="21" t="n">
        <v>0.15</v>
      </c>
    </row>
    <row r="17">
      <c r="A17">
        <f>B17&amp;"_"&amp;C17</f>
        <v/>
      </c>
      <c r="B17" t="inlineStr">
        <is>
          <t>Arrojado</t>
        </is>
      </c>
      <c r="C17" t="inlineStr">
        <is>
          <t>FIIs de Desenvolvimento (Obras / Incorporação)</t>
        </is>
      </c>
      <c r="D17" s="21" t="n">
        <v>0.2</v>
      </c>
    </row>
    <row r="18">
      <c r="A18">
        <f>B18&amp;"_"&amp;C18</f>
        <v/>
      </c>
      <c r="B18" t="inlineStr">
        <is>
          <t>Arrojado</t>
        </is>
      </c>
      <c r="C18" t="inlineStr">
        <is>
          <t>FIIs Híbridos</t>
        </is>
      </c>
      <c r="D18" s="21" t="n">
        <v>0.1</v>
      </c>
    </row>
    <row r="19">
      <c r="A19">
        <f>B19&amp;"_"&amp;C19</f>
        <v/>
      </c>
      <c r="B19" t="inlineStr">
        <is>
          <t>Arrojado</t>
        </is>
      </c>
      <c r="C19" t="inlineStr">
        <is>
          <t>Fiagros / Outros</t>
        </is>
      </c>
      <c r="D19" s="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2026-10-13T20:33:02Z</dcterms:created>
  <dcterms:modified xmlns:dcterms="http://purl.org/dc/terms/" xmlns:xsi="http://www.w3.org/2001/XMLSchema-instance" xsi:type="dcterms:W3CDTF">2026-10-13T20:33:02Z</dcterms:modified>
</cp:coreProperties>
</file>